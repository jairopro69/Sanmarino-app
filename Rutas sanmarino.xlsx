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93C3138-7201-4785-8554-6EB464EB0794}" xr6:coauthVersionLast="47" xr6:coauthVersionMax="47" xr10:uidLastSave="{00000000-0000-0000-0000-000000000000}"/>
  <bookViews>
    <workbookView xWindow="-108" yWindow="-108" windowWidth="23256" windowHeight="12456" xr2:uid="{242FF65B-73B4-4B98-8864-1ED6E400F23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</calcChain>
</file>

<file path=xl/sharedStrings.xml><?xml version="1.0" encoding="utf-8"?>
<sst xmlns="http://schemas.openxmlformats.org/spreadsheetml/2006/main" count="128" uniqueCount="102">
  <si>
    <t>Rutas/clientes</t>
  </si>
  <si>
    <t>Hrs Ruta</t>
  </si>
  <si>
    <t>Ruta</t>
  </si>
  <si>
    <t>BARCELONA-ANTIOQUIA PROD</t>
  </si>
  <si>
    <t>BARCELONA-BARBOSA PROD</t>
  </si>
  <si>
    <t>BARCELONA-CENTRO</t>
  </si>
  <si>
    <t>BARCELONA-MAG MEDIO</t>
  </si>
  <si>
    <t>BODEGA SAN GIL</t>
  </si>
  <si>
    <t>DESPACHOS</t>
  </si>
  <si>
    <t>EL BOLO-ANTIOQUIA PROD</t>
  </si>
  <si>
    <t>EL BOLO-BARBOSA PROD</t>
  </si>
  <si>
    <t>EL BOLO-CENTRO</t>
  </si>
  <si>
    <t>EL BOLO-MAG MEDIO</t>
  </si>
  <si>
    <t>FLANDES-ANTIOQUIA PROD</t>
  </si>
  <si>
    <t>FLANDES-BARBOSA PROD</t>
  </si>
  <si>
    <t>FLANDES-CENTRO</t>
  </si>
  <si>
    <t>FLANDES-MAG MEDIO</t>
  </si>
  <si>
    <t>FLANDES-OCAÑA PROD</t>
  </si>
  <si>
    <t>GIRON-ANTIOQUIA PROD</t>
  </si>
  <si>
    <t>GIRON-BARBOSA PROD</t>
  </si>
  <si>
    <t>GIRON-BARRANCA</t>
  </si>
  <si>
    <t>GIRON-CENTRO</t>
  </si>
  <si>
    <t>GIRON-CUCUTA DIST.</t>
  </si>
  <si>
    <t>GIRON-CUCUTA PROD</t>
  </si>
  <si>
    <t>GIRON-MAG MEDIO</t>
  </si>
  <si>
    <t>GIRON-MALAGA DIST.</t>
  </si>
  <si>
    <t>GIRON-OCAÑA DIST.</t>
  </si>
  <si>
    <t>GIRON-OCAÑA PROD</t>
  </si>
  <si>
    <t>GIRON-PTO BERRIO</t>
  </si>
  <si>
    <t>GIRON-REMESAS</t>
  </si>
  <si>
    <t>GIRON-SOBRANTE</t>
  </si>
  <si>
    <t>GIRON-SUR BOLIVAR</t>
  </si>
  <si>
    <t>GIRON-SUR PROD</t>
  </si>
  <si>
    <t>INTERNO GRANJA</t>
  </si>
  <si>
    <t>REUNION</t>
  </si>
  <si>
    <t>SALIDA BARCELONA</t>
  </si>
  <si>
    <t>SALIDA EL BOLO</t>
  </si>
  <si>
    <t>SALIDA FLANDES</t>
  </si>
  <si>
    <t>SALIDA TUCUMANA</t>
  </si>
  <si>
    <t>SAN GIL BODEGA GIRON</t>
  </si>
  <si>
    <t>SAN GIL SUR PROD</t>
  </si>
  <si>
    <t>SAN GIL-ANTIOQUIA PROD</t>
  </si>
  <si>
    <t>SAN GIL-BARBOSA PROD</t>
  </si>
  <si>
    <t>SAN GIL-CENTRO</t>
  </si>
  <si>
    <t>SAN GIL-CUCUTA DIST.</t>
  </si>
  <si>
    <t>SAN GIL-CUCUTA PROD</t>
  </si>
  <si>
    <t>SAN GIL-MAG MEDIO</t>
  </si>
  <si>
    <t>SAN GIL-OCAÑA DIST.</t>
  </si>
  <si>
    <t>SAN GIL-OCAÑA PROD</t>
  </si>
  <si>
    <t>SAN GIL-REMESAS</t>
  </si>
  <si>
    <t>SAN GIL-SOBRANTE</t>
  </si>
  <si>
    <t>SAN GIL-SUR DIST.</t>
  </si>
  <si>
    <t>TALLER</t>
  </si>
  <si>
    <t>TUCUMANA COSTA BAJA</t>
  </si>
  <si>
    <t>TUCUMANA-ANTIOQUIA PROD</t>
  </si>
  <si>
    <t>TUCUMANA-CENTRO</t>
  </si>
  <si>
    <t>TUCUMANA-MAG MEDIO</t>
  </si>
  <si>
    <t>TUCUMANA-OCAÑA DIST.</t>
  </si>
  <si>
    <t>TUCUMANA-OCAÑA PROD</t>
  </si>
  <si>
    <t xml:space="preserve">TRASLADO COSTA </t>
  </si>
  <si>
    <t>CARGUE ITALCOL</t>
  </si>
  <si>
    <t>Costa Rica San Gil</t>
  </si>
  <si>
    <t>Costa Rica/S German San Gil</t>
  </si>
  <si>
    <t>Dos Hilachas San Gil</t>
  </si>
  <si>
    <t>EL BOLO-SAN GIL</t>
  </si>
  <si>
    <t>El Dorado San Gil</t>
  </si>
  <si>
    <t>Entrega Equipo El Dorado</t>
  </si>
  <si>
    <t>Flandes-Giron H Pollita</t>
  </si>
  <si>
    <t>Giron Caciquito</t>
  </si>
  <si>
    <t>Girón Mesitas</t>
  </si>
  <si>
    <t>Italcol-Dos Hilachas</t>
  </si>
  <si>
    <t>Italcol-Juan Curi</t>
  </si>
  <si>
    <t>Italcol-Miralindo</t>
  </si>
  <si>
    <t>Italcol-Sanguina</t>
  </si>
  <si>
    <t>Juan Curi San Gil</t>
  </si>
  <si>
    <t>La Esperanza</t>
  </si>
  <si>
    <t>La Laguna San Gil</t>
  </si>
  <si>
    <t>Miralindo San Gil</t>
  </si>
  <si>
    <t>Primavera-San Gil</t>
  </si>
  <si>
    <t>Rey David San Gil</t>
  </si>
  <si>
    <t>SALIDA EL BOLO HUEVO</t>
  </si>
  <si>
    <t>SALIDA FLANDES HUEVO</t>
  </si>
  <si>
    <t>San Gil Giron San Gil</t>
  </si>
  <si>
    <t>San Gil-Huevo Giron</t>
  </si>
  <si>
    <t>San Roque San Gil</t>
  </si>
  <si>
    <t>Villa Johana Giron</t>
  </si>
  <si>
    <t>Villa Johana San Gil</t>
  </si>
  <si>
    <t>Villa Johana/La Maria San Gil</t>
  </si>
  <si>
    <t>Villanueva San Gil</t>
  </si>
  <si>
    <t>EXPORTACION HUEVO VENEZUELA</t>
  </si>
  <si>
    <t>La Esmeralda San gil</t>
  </si>
  <si>
    <t>ALI4</t>
  </si>
  <si>
    <t>HR8</t>
  </si>
  <si>
    <t>HR25</t>
  </si>
  <si>
    <t>HR15</t>
  </si>
  <si>
    <t>HR6</t>
  </si>
  <si>
    <t>ALI17</t>
  </si>
  <si>
    <t>ALI16</t>
  </si>
  <si>
    <t>ALI15</t>
  </si>
  <si>
    <t>HR9</t>
  </si>
  <si>
    <t>HR10</t>
  </si>
  <si>
    <t>HR26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</si>
</sst>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applyFill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F8AFA6-735C-4C9A-9318-01B02F1F8183}" name="rutasp" displayName="rutasp" ref="A1:C92" totalsRowShown="0">
  <autoFilter ref="A1:C92" xr:uid="{F6F8AFA6-735C-4C9A-9318-01B02F1F8183}"/>
  <sortState xmlns:xlrd2="http://schemas.microsoft.com/office/spreadsheetml/2017/richdata2" ref="A2:C57">
    <sortCondition ref="A2:A58"/>
  </sortState>
  <tableColumns count="3">
    <tableColumn id="1" xr3:uid="{A24BD516-042A-4786-8DAB-70D6BDDFBAFC}" name="Rutas/clientes"/>
    <tableColumn id="2" xr3:uid="{E525C0EF-4681-4F54-852A-8CC44A887579}" name="Hrs Ruta"/>
    <tableColumn id="3" xr3:uid="{C73013E4-942D-4306-B9DD-54FD387F08B5}" name="Ruta" dataDxfId="2">
      <calculatedColumnFormula>CONCATENATE(rutasp[[#This Row],[Hrs Ruta]]&amp;"PR")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390A4-A4EA-4822-909F-39F967C5A7F8}">
  <dimension ref="A1:C92"/>
  <sheetViews>
    <sheetView tabSelected="1" workbookViewId="0">
      <selection activeCell="D10" sqref="D10"/>
    </sheetView>
  </sheetViews>
  <sheetFormatPr baseColWidth="10" defaultRowHeight="14.4" x14ac:dyDescent="0.3"/>
  <cols>
    <col min="1" max="1" width="26.88671875" bestFit="1" customWidth="1"/>
    <col min="2" max="2" width="15.77734375" customWidth="1"/>
    <col min="3" max="3" width="10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15</v>
      </c>
      <c r="C2" t="str">
        <f>CONCATENATE(rutasp[[#This Row],[Hrs Ruta]]&amp;"PR")</f>
        <v>15PR</v>
      </c>
    </row>
    <row r="3" spans="1:3" x14ac:dyDescent="0.3">
      <c r="A3" t="s">
        <v>4</v>
      </c>
      <c r="B3">
        <v>20</v>
      </c>
      <c r="C3" t="str">
        <f>CONCATENATE(rutasp[[#This Row],[Hrs Ruta]]&amp;"PR")</f>
        <v>20PR</v>
      </c>
    </row>
    <row r="4" spans="1:3" x14ac:dyDescent="0.3">
      <c r="A4" t="s">
        <v>5</v>
      </c>
      <c r="B4">
        <v>15</v>
      </c>
      <c r="C4" t="str">
        <f>CONCATENATE(rutasp[[#This Row],[Hrs Ruta]]&amp;"PR")</f>
        <v>15PR</v>
      </c>
    </row>
    <row r="5" spans="1:3" x14ac:dyDescent="0.3">
      <c r="A5" t="s">
        <v>6</v>
      </c>
      <c r="B5">
        <v>15</v>
      </c>
      <c r="C5" t="str">
        <f>CONCATENATE(rutasp[[#This Row],[Hrs Ruta]]&amp;"PR")</f>
        <v>15PR</v>
      </c>
    </row>
    <row r="6" spans="1:3" x14ac:dyDescent="0.3">
      <c r="A6" t="s">
        <v>7</v>
      </c>
      <c r="B6">
        <v>3</v>
      </c>
      <c r="C6" t="str">
        <f>CONCATENATE(rutasp[[#This Row],[Hrs Ruta]]&amp;"PR")</f>
        <v>3PR</v>
      </c>
    </row>
    <row r="7" spans="1:3" x14ac:dyDescent="0.3">
      <c r="A7" s="2" t="s">
        <v>8</v>
      </c>
      <c r="B7">
        <v>8</v>
      </c>
      <c r="C7" t="str">
        <f>CONCATENATE(rutasp[[#This Row],[Hrs Ruta]]&amp;"PR")</f>
        <v>8PR</v>
      </c>
    </row>
    <row r="8" spans="1:3" x14ac:dyDescent="0.3">
      <c r="A8" t="s">
        <v>9</v>
      </c>
      <c r="B8">
        <v>28</v>
      </c>
      <c r="C8" t="str">
        <f>CONCATENATE(rutasp[[#This Row],[Hrs Ruta]]&amp;"PR")</f>
        <v>28PR</v>
      </c>
    </row>
    <row r="9" spans="1:3" x14ac:dyDescent="0.3">
      <c r="A9" t="s">
        <v>10</v>
      </c>
      <c r="B9">
        <v>26</v>
      </c>
      <c r="C9" t="str">
        <f>CONCATENATE(rutasp[[#This Row],[Hrs Ruta]]&amp;"PR")</f>
        <v>26PR</v>
      </c>
    </row>
    <row r="10" spans="1:3" x14ac:dyDescent="0.3">
      <c r="A10" t="s">
        <v>11</v>
      </c>
      <c r="B10">
        <v>25</v>
      </c>
      <c r="C10" t="str">
        <f>CONCATENATE(rutasp[[#This Row],[Hrs Ruta]]&amp;"PR")</f>
        <v>25PR</v>
      </c>
    </row>
    <row r="11" spans="1:3" x14ac:dyDescent="0.3">
      <c r="A11" t="s">
        <v>12</v>
      </c>
      <c r="B11">
        <v>25</v>
      </c>
      <c r="C11" t="str">
        <f>CONCATENATE(rutasp[[#This Row],[Hrs Ruta]]&amp;"PR")</f>
        <v>25PR</v>
      </c>
    </row>
    <row r="12" spans="1:3" x14ac:dyDescent="0.3">
      <c r="A12" t="s">
        <v>13</v>
      </c>
      <c r="B12">
        <v>25</v>
      </c>
      <c r="C12" t="str">
        <f>CONCATENATE(rutasp[[#This Row],[Hrs Ruta]]&amp;"PR")</f>
        <v>25PR</v>
      </c>
    </row>
    <row r="13" spans="1:3" x14ac:dyDescent="0.3">
      <c r="A13" t="s">
        <v>14</v>
      </c>
      <c r="B13">
        <v>25</v>
      </c>
      <c r="C13" t="str">
        <f>CONCATENATE(rutasp[[#This Row],[Hrs Ruta]]&amp;"PR")</f>
        <v>25PR</v>
      </c>
    </row>
    <row r="14" spans="1:3" x14ac:dyDescent="0.3">
      <c r="A14" t="s">
        <v>15</v>
      </c>
      <c r="B14">
        <v>18</v>
      </c>
      <c r="C14" t="str">
        <f>CONCATENATE(rutasp[[#This Row],[Hrs Ruta]]&amp;"PR")</f>
        <v>18PR</v>
      </c>
    </row>
    <row r="15" spans="1:3" x14ac:dyDescent="0.3">
      <c r="A15" t="s">
        <v>16</v>
      </c>
      <c r="B15">
        <v>22</v>
      </c>
      <c r="C15" t="str">
        <f>CONCATENATE(rutasp[[#This Row],[Hrs Ruta]]&amp;"PR")</f>
        <v>22PR</v>
      </c>
    </row>
    <row r="16" spans="1:3" x14ac:dyDescent="0.3">
      <c r="A16" t="s">
        <v>17</v>
      </c>
      <c r="B16">
        <v>25</v>
      </c>
      <c r="C16" t="str">
        <f>CONCATENATE(rutasp[[#This Row],[Hrs Ruta]]&amp;"PR")</f>
        <v>25PR</v>
      </c>
    </row>
    <row r="17" spans="1:3" x14ac:dyDescent="0.3">
      <c r="A17" t="s">
        <v>18</v>
      </c>
      <c r="B17">
        <v>26</v>
      </c>
      <c r="C17" t="str">
        <f>CONCATENATE(rutasp[[#This Row],[Hrs Ruta]]&amp;"PR")</f>
        <v>26PR</v>
      </c>
    </row>
    <row r="18" spans="1:3" x14ac:dyDescent="0.3">
      <c r="A18" t="s">
        <v>19</v>
      </c>
      <c r="B18">
        <v>18</v>
      </c>
      <c r="C18" t="str">
        <f>CONCATENATE(rutasp[[#This Row],[Hrs Ruta]]&amp;"PR")</f>
        <v>18PR</v>
      </c>
    </row>
    <row r="19" spans="1:3" x14ac:dyDescent="0.3">
      <c r="A19" t="s">
        <v>20</v>
      </c>
      <c r="B19">
        <v>17</v>
      </c>
      <c r="C19" t="str">
        <f>CONCATENATE(rutasp[[#This Row],[Hrs Ruta]]&amp;"PR")</f>
        <v>17PR</v>
      </c>
    </row>
    <row r="20" spans="1:3" x14ac:dyDescent="0.3">
      <c r="A20" t="s">
        <v>21</v>
      </c>
      <c r="B20">
        <v>8</v>
      </c>
      <c r="C20" t="str">
        <f>CONCATENATE(rutasp[[#This Row],[Hrs Ruta]]&amp;"PR")</f>
        <v>8PR</v>
      </c>
    </row>
    <row r="21" spans="1:3" x14ac:dyDescent="0.3">
      <c r="A21" t="s">
        <v>22</v>
      </c>
      <c r="B21">
        <v>26</v>
      </c>
      <c r="C21" t="str">
        <f>CONCATENATE(rutasp[[#This Row],[Hrs Ruta]]&amp;"PR")</f>
        <v>26PR</v>
      </c>
    </row>
    <row r="22" spans="1:3" x14ac:dyDescent="0.3">
      <c r="A22" t="s">
        <v>23</v>
      </c>
      <c r="B22">
        <v>20</v>
      </c>
      <c r="C22" t="str">
        <f>CONCATENATE(rutasp[[#This Row],[Hrs Ruta]]&amp;"PR")</f>
        <v>20PR</v>
      </c>
    </row>
    <row r="23" spans="1:3" x14ac:dyDescent="0.3">
      <c r="A23" t="s">
        <v>24</v>
      </c>
      <c r="B23">
        <v>10</v>
      </c>
      <c r="C23" t="str">
        <f>CONCATENATE(rutasp[[#This Row],[Hrs Ruta]]&amp;"PR")</f>
        <v>10PR</v>
      </c>
    </row>
    <row r="24" spans="1:3" x14ac:dyDescent="0.3">
      <c r="A24" t="s">
        <v>25</v>
      </c>
      <c r="B24">
        <v>20</v>
      </c>
      <c r="C24" t="str">
        <f>CONCATENATE(rutasp[[#This Row],[Hrs Ruta]]&amp;"PR")</f>
        <v>20PR</v>
      </c>
    </row>
    <row r="25" spans="1:3" x14ac:dyDescent="0.3">
      <c r="A25" t="s">
        <v>26</v>
      </c>
      <c r="B25">
        <v>23</v>
      </c>
      <c r="C25" t="str">
        <f>CONCATENATE(rutasp[[#This Row],[Hrs Ruta]]&amp;"PR")</f>
        <v>23PR</v>
      </c>
    </row>
    <row r="26" spans="1:3" x14ac:dyDescent="0.3">
      <c r="A26" t="s">
        <v>27</v>
      </c>
      <c r="B26">
        <v>17</v>
      </c>
      <c r="C26" t="str">
        <f>CONCATENATE(rutasp[[#This Row],[Hrs Ruta]]&amp;"PR")</f>
        <v>17PR</v>
      </c>
    </row>
    <row r="27" spans="1:3" x14ac:dyDescent="0.3">
      <c r="A27" t="s">
        <v>28</v>
      </c>
      <c r="B27">
        <v>25</v>
      </c>
      <c r="C27" t="str">
        <f>CONCATENATE(rutasp[[#This Row],[Hrs Ruta]]&amp;"PR")</f>
        <v>25PR</v>
      </c>
    </row>
    <row r="28" spans="1:3" x14ac:dyDescent="0.3">
      <c r="A28" t="s">
        <v>29</v>
      </c>
      <c r="B28">
        <v>8</v>
      </c>
      <c r="C28" t="str">
        <f>CONCATENATE(rutasp[[#This Row],[Hrs Ruta]]&amp;"PR")</f>
        <v>8PR</v>
      </c>
    </row>
    <row r="29" spans="1:3" x14ac:dyDescent="0.3">
      <c r="A29" t="s">
        <v>30</v>
      </c>
      <c r="B29">
        <v>15</v>
      </c>
      <c r="C29" t="str">
        <f>CONCATENATE(rutasp[[#This Row],[Hrs Ruta]]&amp;"PR")</f>
        <v>15PR</v>
      </c>
    </row>
    <row r="30" spans="1:3" x14ac:dyDescent="0.3">
      <c r="A30" t="s">
        <v>31</v>
      </c>
      <c r="B30">
        <v>25</v>
      </c>
      <c r="C30" t="str">
        <f>CONCATENATE(rutasp[[#This Row],[Hrs Ruta]]&amp;"PR")</f>
        <v>25PR</v>
      </c>
    </row>
    <row r="31" spans="1:3" x14ac:dyDescent="0.3">
      <c r="A31" t="s">
        <v>32</v>
      </c>
      <c r="B31">
        <v>14</v>
      </c>
      <c r="C31" t="str">
        <f>CONCATENATE(rutasp[[#This Row],[Hrs Ruta]]&amp;"PR")</f>
        <v>14PR</v>
      </c>
    </row>
    <row r="32" spans="1:3" x14ac:dyDescent="0.3">
      <c r="A32" t="s">
        <v>33</v>
      </c>
      <c r="B32">
        <v>8</v>
      </c>
      <c r="C32" t="str">
        <f>CONCATENATE(rutasp[[#This Row],[Hrs Ruta]]&amp;"PR")</f>
        <v>8PR</v>
      </c>
    </row>
    <row r="33" spans="1:3" x14ac:dyDescent="0.3">
      <c r="A33" t="s">
        <v>34</v>
      </c>
      <c r="B33">
        <v>3</v>
      </c>
      <c r="C33" t="str">
        <f>CONCATENATE(rutasp[[#This Row],[Hrs Ruta]]&amp;"PR")</f>
        <v>3PR</v>
      </c>
    </row>
    <row r="34" spans="1:3" x14ac:dyDescent="0.3">
      <c r="A34" t="s">
        <v>35</v>
      </c>
      <c r="B34">
        <v>15</v>
      </c>
      <c r="C34" t="str">
        <f>CONCATENATE(rutasp[[#This Row],[Hrs Ruta]]&amp;"PR")</f>
        <v>15PR</v>
      </c>
    </row>
    <row r="35" spans="1:3" x14ac:dyDescent="0.3">
      <c r="A35" t="s">
        <v>36</v>
      </c>
      <c r="B35">
        <v>15</v>
      </c>
      <c r="C35" t="str">
        <f>CONCATENATE(rutasp[[#This Row],[Hrs Ruta]]&amp;"PR")</f>
        <v>15PR</v>
      </c>
    </row>
    <row r="36" spans="1:3" x14ac:dyDescent="0.3">
      <c r="A36" t="s">
        <v>37</v>
      </c>
      <c r="B36">
        <v>12</v>
      </c>
      <c r="C36" t="str">
        <f>CONCATENATE(rutasp[[#This Row],[Hrs Ruta]]&amp;"PR")</f>
        <v>12PR</v>
      </c>
    </row>
    <row r="37" spans="1:3" x14ac:dyDescent="0.3">
      <c r="A37" t="s">
        <v>38</v>
      </c>
      <c r="B37">
        <v>15</v>
      </c>
      <c r="C37" t="str">
        <f>CONCATENATE(rutasp[[#This Row],[Hrs Ruta]]&amp;"PR")</f>
        <v>15PR</v>
      </c>
    </row>
    <row r="38" spans="1:3" x14ac:dyDescent="0.3">
      <c r="A38" t="s">
        <v>39</v>
      </c>
      <c r="B38">
        <v>12</v>
      </c>
      <c r="C38" t="str">
        <f>CONCATENATE(rutasp[[#This Row],[Hrs Ruta]]&amp;"PR")</f>
        <v>12PR</v>
      </c>
    </row>
    <row r="39" spans="1:3" x14ac:dyDescent="0.3">
      <c r="A39" t="s">
        <v>40</v>
      </c>
      <c r="B39">
        <v>10</v>
      </c>
      <c r="C39" t="str">
        <f>CONCATENATE(rutasp[[#This Row],[Hrs Ruta]]&amp;"PR")</f>
        <v>10PR</v>
      </c>
    </row>
    <row r="40" spans="1:3" x14ac:dyDescent="0.3">
      <c r="A40" t="s">
        <v>41</v>
      </c>
      <c r="B40">
        <v>30</v>
      </c>
      <c r="C40" t="str">
        <f>CONCATENATE(rutasp[[#This Row],[Hrs Ruta]]&amp;"PR")</f>
        <v>30PR</v>
      </c>
    </row>
    <row r="41" spans="1:3" x14ac:dyDescent="0.3">
      <c r="A41" t="s">
        <v>42</v>
      </c>
      <c r="B41">
        <v>10</v>
      </c>
      <c r="C41" t="str">
        <f>CONCATENATE(rutasp[[#This Row],[Hrs Ruta]]&amp;"PR")</f>
        <v>10PR</v>
      </c>
    </row>
    <row r="42" spans="1:3" x14ac:dyDescent="0.3">
      <c r="A42" t="s">
        <v>43</v>
      </c>
      <c r="B42">
        <v>12</v>
      </c>
      <c r="C42" t="str">
        <f>CONCATENATE(rutasp[[#This Row],[Hrs Ruta]]&amp;"PR")</f>
        <v>12PR</v>
      </c>
    </row>
    <row r="43" spans="1:3" x14ac:dyDescent="0.3">
      <c r="A43" t="s">
        <v>44</v>
      </c>
      <c r="B43">
        <v>40</v>
      </c>
      <c r="C43" t="str">
        <f>CONCATENATE(rutasp[[#This Row],[Hrs Ruta]]&amp;"PR")</f>
        <v>40PR</v>
      </c>
    </row>
    <row r="44" spans="1:3" x14ac:dyDescent="0.3">
      <c r="A44" t="s">
        <v>45</v>
      </c>
      <c r="B44">
        <v>28</v>
      </c>
      <c r="C44" t="str">
        <f>CONCATENATE(rutasp[[#This Row],[Hrs Ruta]]&amp;"PR")</f>
        <v>28PR</v>
      </c>
    </row>
    <row r="45" spans="1:3" x14ac:dyDescent="0.3">
      <c r="A45" t="s">
        <v>46</v>
      </c>
      <c r="B45">
        <v>17</v>
      </c>
      <c r="C45" t="str">
        <f>CONCATENATE(rutasp[[#This Row],[Hrs Ruta]]&amp;"PR")</f>
        <v>17PR</v>
      </c>
    </row>
    <row r="46" spans="1:3" x14ac:dyDescent="0.3">
      <c r="A46" t="s">
        <v>47</v>
      </c>
      <c r="B46">
        <v>30</v>
      </c>
      <c r="C46" t="str">
        <f>CONCATENATE(rutasp[[#This Row],[Hrs Ruta]]&amp;"PR")</f>
        <v>30PR</v>
      </c>
    </row>
    <row r="47" spans="1:3" x14ac:dyDescent="0.3">
      <c r="A47" t="s">
        <v>48</v>
      </c>
      <c r="B47">
        <v>23</v>
      </c>
      <c r="C47" t="str">
        <f>CONCATENATE(rutasp[[#This Row],[Hrs Ruta]]&amp;"PR")</f>
        <v>23PR</v>
      </c>
    </row>
    <row r="48" spans="1:3" x14ac:dyDescent="0.3">
      <c r="A48" t="s">
        <v>49</v>
      </c>
      <c r="B48">
        <v>8</v>
      </c>
      <c r="C48" t="str">
        <f>CONCATENATE(rutasp[[#This Row],[Hrs Ruta]]&amp;"PR")</f>
        <v>8PR</v>
      </c>
    </row>
    <row r="49" spans="1:3" x14ac:dyDescent="0.3">
      <c r="A49" t="s">
        <v>50</v>
      </c>
      <c r="B49">
        <v>15</v>
      </c>
      <c r="C49" t="str">
        <f>CONCATENATE(rutasp[[#This Row],[Hrs Ruta]]&amp;"PR")</f>
        <v>15PR</v>
      </c>
    </row>
    <row r="50" spans="1:3" x14ac:dyDescent="0.3">
      <c r="A50" t="s">
        <v>51</v>
      </c>
      <c r="B50">
        <v>12</v>
      </c>
      <c r="C50" t="str">
        <f>CONCATENATE(rutasp[[#This Row],[Hrs Ruta]]&amp;"PR")</f>
        <v>12PR</v>
      </c>
    </row>
    <row r="51" spans="1:3" x14ac:dyDescent="0.3">
      <c r="A51" t="s">
        <v>52</v>
      </c>
      <c r="B51">
        <v>9</v>
      </c>
      <c r="C51" t="str">
        <f>CONCATENATE(rutasp[[#This Row],[Hrs Ruta]]&amp;"PR")</f>
        <v>9PR</v>
      </c>
    </row>
    <row r="52" spans="1:3" x14ac:dyDescent="0.3">
      <c r="A52" t="s">
        <v>53</v>
      </c>
      <c r="B52">
        <v>27</v>
      </c>
      <c r="C52" t="str">
        <f>CONCATENATE(rutasp[[#This Row],[Hrs Ruta]]&amp;"PR")</f>
        <v>27PR</v>
      </c>
    </row>
    <row r="53" spans="1:3" x14ac:dyDescent="0.3">
      <c r="A53" t="s">
        <v>54</v>
      </c>
      <c r="B53">
        <v>35</v>
      </c>
      <c r="C53" t="str">
        <f>CONCATENATE(rutasp[[#This Row],[Hrs Ruta]]&amp;"PR")</f>
        <v>35PR</v>
      </c>
    </row>
    <row r="54" spans="1:3" x14ac:dyDescent="0.3">
      <c r="A54" t="s">
        <v>55</v>
      </c>
      <c r="B54">
        <v>25</v>
      </c>
      <c r="C54" t="str">
        <f>CONCATENATE(rutasp[[#This Row],[Hrs Ruta]]&amp;"PR")</f>
        <v>25PR</v>
      </c>
    </row>
    <row r="55" spans="1:3" x14ac:dyDescent="0.3">
      <c r="A55" t="s">
        <v>56</v>
      </c>
      <c r="B55">
        <v>25</v>
      </c>
      <c r="C55" t="str">
        <f>CONCATENATE(rutasp[[#This Row],[Hrs Ruta]]&amp;"PR")</f>
        <v>25PR</v>
      </c>
    </row>
    <row r="56" spans="1:3" x14ac:dyDescent="0.3">
      <c r="A56" t="s">
        <v>57</v>
      </c>
      <c r="B56">
        <v>30</v>
      </c>
      <c r="C56" t="str">
        <f>CONCATENATE(rutasp[[#This Row],[Hrs Ruta]]&amp;"PR")</f>
        <v>30PR</v>
      </c>
    </row>
    <row r="57" spans="1:3" x14ac:dyDescent="0.3">
      <c r="A57" t="s">
        <v>58</v>
      </c>
      <c r="B57">
        <v>30</v>
      </c>
      <c r="C57" t="str">
        <f>CONCATENATE(rutasp[[#This Row],[Hrs Ruta]]&amp;"PR")</f>
        <v>30PR</v>
      </c>
    </row>
    <row r="58" spans="1:3" x14ac:dyDescent="0.3">
      <c r="A58" t="s">
        <v>59</v>
      </c>
      <c r="B58">
        <v>30</v>
      </c>
      <c r="C58" t="str">
        <f>CONCATENATE(rutasp[[#This Row],[Hrs Ruta]]&amp;"PR")</f>
        <v>30PR</v>
      </c>
    </row>
    <row r="59" spans="1:3" x14ac:dyDescent="0.3">
      <c r="A59" t="s">
        <v>60</v>
      </c>
      <c r="B59">
        <v>4</v>
      </c>
      <c r="C59" s="1" t="s">
        <v>91</v>
      </c>
    </row>
    <row r="60" spans="1:3" x14ac:dyDescent="0.3">
      <c r="A60" t="s">
        <v>61</v>
      </c>
      <c r="B60">
        <v>8</v>
      </c>
      <c r="C60" s="1" t="s">
        <v>92</v>
      </c>
    </row>
    <row r="61" spans="1:3" x14ac:dyDescent="0.3">
      <c r="A61" t="s">
        <v>62</v>
      </c>
      <c r="B61">
        <v>8</v>
      </c>
      <c r="C61" s="1" t="s">
        <v>92</v>
      </c>
    </row>
    <row r="62" spans="1:3" x14ac:dyDescent="0.3">
      <c r="A62" t="s">
        <v>8</v>
      </c>
      <c r="B62">
        <v>8</v>
      </c>
      <c r="C62" s="1" t="s">
        <v>92</v>
      </c>
    </row>
    <row r="63" spans="1:3" x14ac:dyDescent="0.3">
      <c r="A63" t="s">
        <v>63</v>
      </c>
      <c r="B63">
        <v>8</v>
      </c>
      <c r="C63" s="1" t="s">
        <v>92</v>
      </c>
    </row>
    <row r="64" spans="1:3" x14ac:dyDescent="0.3">
      <c r="A64" t="s">
        <v>64</v>
      </c>
      <c r="B64">
        <v>25</v>
      </c>
      <c r="C64" s="1" t="s">
        <v>93</v>
      </c>
    </row>
    <row r="65" spans="1:3" x14ac:dyDescent="0.3">
      <c r="A65" t="s">
        <v>65</v>
      </c>
      <c r="B65">
        <v>8</v>
      </c>
      <c r="C65" s="1" t="s">
        <v>92</v>
      </c>
    </row>
    <row r="66" spans="1:3" x14ac:dyDescent="0.3">
      <c r="A66" t="s">
        <v>66</v>
      </c>
      <c r="B66">
        <v>8</v>
      </c>
      <c r="C66" s="1" t="s">
        <v>92</v>
      </c>
    </row>
    <row r="67" spans="1:3" x14ac:dyDescent="0.3">
      <c r="A67" t="s">
        <v>67</v>
      </c>
      <c r="B67">
        <v>15</v>
      </c>
      <c r="C67" s="1" t="s">
        <v>94</v>
      </c>
    </row>
    <row r="68" spans="1:3" x14ac:dyDescent="0.3">
      <c r="A68" t="s">
        <v>68</v>
      </c>
      <c r="B68">
        <v>6</v>
      </c>
      <c r="C68" s="1" t="s">
        <v>95</v>
      </c>
    </row>
    <row r="69" spans="1:3" x14ac:dyDescent="0.3">
      <c r="A69" t="s">
        <v>69</v>
      </c>
      <c r="B69">
        <v>6</v>
      </c>
      <c r="C69" s="1" t="s">
        <v>95</v>
      </c>
    </row>
    <row r="70" spans="1:3" x14ac:dyDescent="0.3">
      <c r="A70" t="s">
        <v>33</v>
      </c>
      <c r="B70">
        <v>8</v>
      </c>
      <c r="C70" s="1" t="s">
        <v>92</v>
      </c>
    </row>
    <row r="71" spans="1:3" x14ac:dyDescent="0.3">
      <c r="A71" t="s">
        <v>70</v>
      </c>
      <c r="B71">
        <v>17</v>
      </c>
      <c r="C71" s="1" t="s">
        <v>96</v>
      </c>
    </row>
    <row r="72" spans="1:3" x14ac:dyDescent="0.3">
      <c r="A72" t="s">
        <v>71</v>
      </c>
      <c r="B72">
        <v>17</v>
      </c>
      <c r="C72" s="1" t="s">
        <v>96</v>
      </c>
    </row>
    <row r="73" spans="1:3" x14ac:dyDescent="0.3">
      <c r="A73" t="s">
        <v>72</v>
      </c>
      <c r="B73">
        <v>16</v>
      </c>
      <c r="C73" s="1" t="s">
        <v>97</v>
      </c>
    </row>
    <row r="74" spans="1:3" x14ac:dyDescent="0.3">
      <c r="A74" t="s">
        <v>73</v>
      </c>
      <c r="B74">
        <v>15</v>
      </c>
      <c r="C74" s="1" t="s">
        <v>98</v>
      </c>
    </row>
    <row r="75" spans="1:3" x14ac:dyDescent="0.3">
      <c r="A75" t="s">
        <v>74</v>
      </c>
      <c r="B75">
        <v>8</v>
      </c>
      <c r="C75" s="1" t="s">
        <v>92</v>
      </c>
    </row>
    <row r="76" spans="1:3" x14ac:dyDescent="0.3">
      <c r="A76" t="s">
        <v>75</v>
      </c>
      <c r="B76">
        <v>8</v>
      </c>
      <c r="C76" s="1" t="s">
        <v>92</v>
      </c>
    </row>
    <row r="77" spans="1:3" x14ac:dyDescent="0.3">
      <c r="A77" t="s">
        <v>76</v>
      </c>
      <c r="B77">
        <v>9</v>
      </c>
      <c r="C77" s="1" t="s">
        <v>99</v>
      </c>
    </row>
    <row r="78" spans="1:3" x14ac:dyDescent="0.3">
      <c r="A78" t="s">
        <v>77</v>
      </c>
      <c r="B78">
        <v>8</v>
      </c>
      <c r="C78" s="1" t="s">
        <v>92</v>
      </c>
    </row>
    <row r="79" spans="1:3" x14ac:dyDescent="0.3">
      <c r="A79" t="s">
        <v>78</v>
      </c>
      <c r="B79">
        <v>8</v>
      </c>
      <c r="C79" s="1" t="s">
        <v>92</v>
      </c>
    </row>
    <row r="80" spans="1:3" x14ac:dyDescent="0.3">
      <c r="A80" t="s">
        <v>79</v>
      </c>
      <c r="B80">
        <v>8</v>
      </c>
      <c r="C80" s="1" t="s">
        <v>92</v>
      </c>
    </row>
    <row r="81" spans="1:3" x14ac:dyDescent="0.3">
      <c r="A81" t="s">
        <v>80</v>
      </c>
      <c r="B81">
        <v>15</v>
      </c>
      <c r="C81" s="1" t="s">
        <v>94</v>
      </c>
    </row>
    <row r="82" spans="1:3" x14ac:dyDescent="0.3">
      <c r="A82" t="s">
        <v>81</v>
      </c>
      <c r="B82">
        <v>10</v>
      </c>
      <c r="C82" s="1" t="s">
        <v>100</v>
      </c>
    </row>
    <row r="83" spans="1:3" x14ac:dyDescent="0.3">
      <c r="A83" t="s">
        <v>82</v>
      </c>
      <c r="B83">
        <v>10</v>
      </c>
      <c r="C83" s="1" t="s">
        <v>100</v>
      </c>
    </row>
    <row r="84" spans="1:3" x14ac:dyDescent="0.3">
      <c r="A84" t="s">
        <v>83</v>
      </c>
      <c r="B84">
        <v>10</v>
      </c>
      <c r="C84" s="1" t="s">
        <v>100</v>
      </c>
    </row>
    <row r="85" spans="1:3" x14ac:dyDescent="0.3">
      <c r="A85" t="s">
        <v>84</v>
      </c>
      <c r="B85">
        <v>6</v>
      </c>
      <c r="C85" s="1" t="s">
        <v>95</v>
      </c>
    </row>
    <row r="86" spans="1:3" x14ac:dyDescent="0.3">
      <c r="A86" t="s">
        <v>52</v>
      </c>
      <c r="B86">
        <v>8</v>
      </c>
      <c r="C86" s="1" t="s">
        <v>92</v>
      </c>
    </row>
    <row r="87" spans="1:3" x14ac:dyDescent="0.3">
      <c r="A87" t="s">
        <v>85</v>
      </c>
      <c r="B87">
        <v>8</v>
      </c>
      <c r="C87" s="1" t="s">
        <v>92</v>
      </c>
    </row>
    <row r="88" spans="1:3" x14ac:dyDescent="0.3">
      <c r="A88" t="s">
        <v>86</v>
      </c>
      <c r="B88">
        <v>8</v>
      </c>
      <c r="C88" s="1" t="s">
        <v>92</v>
      </c>
    </row>
    <row r="89" spans="1:3" x14ac:dyDescent="0.3">
      <c r="A89" t="s">
        <v>87</v>
      </c>
      <c r="B89">
        <v>8</v>
      </c>
      <c r="C89" s="1" t="s">
        <v>92</v>
      </c>
    </row>
    <row r="90" spans="1:3" x14ac:dyDescent="0.3">
      <c r="A90" t="s">
        <v>88</v>
      </c>
      <c r="B90">
        <v>8</v>
      </c>
      <c r="C90" s="1" t="s">
        <v>92</v>
      </c>
    </row>
    <row r="91" spans="1:3" x14ac:dyDescent="0.3">
      <c r="A91" t="s">
        <v>89</v>
      </c>
      <c r="B91">
        <v>26</v>
      </c>
      <c r="C91" s="1" t="s">
        <v>101</v>
      </c>
    </row>
    <row r="92" spans="1:3" x14ac:dyDescent="0.3">
      <c r="A92" t="s">
        <v>90</v>
      </c>
      <c r="B92">
        <v>8</v>
      </c>
      <c r="C92" s="1" t="s">
        <v>92</v>
      </c>
    </row>
  </sheetData>
  <conditionalFormatting sqref="A2:A92"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jairo rojas</dc:creator>
  <cp:lastModifiedBy>jairo rojas</cp:lastModifiedBy>
  <dcterms:created xsi:type="dcterms:W3CDTF">2026-04-08T14:35:12Z</dcterms:created>
  <dcterms:modified xsi:type="dcterms:W3CDTF">2026-04-08T14:36:55Z</dcterms:modified>
</cp:coreProperties>
</file>